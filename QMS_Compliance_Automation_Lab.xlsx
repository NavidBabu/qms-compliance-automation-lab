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59ef9301f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311fa9d43cd4bc9"/>
    <x:sheet xmlns:r="http://schemas.openxmlformats.org/officeDocument/2006/relationships" name="Document Control" sheetId="2" r:id="Rb77814661fbf4d9b"/>
    <x:sheet xmlns:r="http://schemas.openxmlformats.org/officeDocument/2006/relationships" name="Training Matrix" sheetId="3" r:id="R75bd4e2a7d0a406d"/>
    <x:sheet xmlns:r="http://schemas.openxmlformats.org/officeDocument/2006/relationships" name="CAPA Tracker" sheetId="4" r:id="Rfa822485d6884b3f"/>
    <x:sheet xmlns:r="http://schemas.openxmlformats.org/officeDocument/2006/relationships" name="Change Control" sheetId="5" r:id="R4b24231710904b48"/>
    <x:sheet xmlns:r="http://schemas.openxmlformats.org/officeDocument/2006/relationships" name="Nonconformance Log" sheetId="6" r:id="R4e2aeaa744174627"/>
    <x:sheet xmlns:r="http://schemas.openxmlformats.org/officeDocument/2006/relationships" name="Audit Readiness" sheetId="7" r:id="R9a13d06fcece4665"/>
    <x:sheet xmlns:r="http://schemas.openxmlformats.org/officeDocument/2006/relationships" name="Management Review" sheetId="8" r:id="R63a33bcb5ae044e8"/>
    <x:sheet xmlns:r="http://schemas.openxmlformats.org/officeDocument/2006/relationships" name="Regulatory Reference" sheetId="9" r:id="R3ed763e46e3e46bf"/>
    <x:sheet xmlns:r="http://schemas.openxmlformats.org/officeDocument/2006/relationships" name="Dashboard" sheetId="10" r:id="Re0875b7e7e76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3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201" fontId="4" fillId="0" borderId="1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/>
    </x:xf>
    <x:xf numFmtId="202" fontId="4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8">
    <x:dxf>
      <x:font>
        <x:b/>
      </x:font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f9f59cd9b41f0" /><Relationship Type="http://schemas.openxmlformats.org/officeDocument/2006/relationships/theme" Target="/xl/theme/theme1.xml" Id="Rb9b6e22b1c66468c" /><Relationship Type="http://schemas.openxmlformats.org/officeDocument/2006/relationships/sharedStrings" Target="/xl/sharedStrings.xml" Id="R347199bedc7b487c" /><Relationship Type="http://schemas.openxmlformats.org/officeDocument/2006/relationships/worksheet" Target="/xl/worksheets/sheet1.xml" Id="R9311fa9d43cd4bc9" /><Relationship Type="http://schemas.openxmlformats.org/officeDocument/2006/relationships/worksheet" Target="/xl/worksheets/sheet2.xml" Id="Rb77814661fbf4d9b" /><Relationship Type="http://schemas.openxmlformats.org/officeDocument/2006/relationships/worksheet" Target="/xl/worksheets/sheet3.xml" Id="R75bd4e2a7d0a406d" /><Relationship Type="http://schemas.openxmlformats.org/officeDocument/2006/relationships/worksheet" Target="/xl/worksheets/sheet4.xml" Id="Rfa822485d6884b3f" /><Relationship Type="http://schemas.openxmlformats.org/officeDocument/2006/relationships/worksheet" Target="/xl/worksheets/sheet5.xml" Id="R4b24231710904b48" /><Relationship Type="http://schemas.openxmlformats.org/officeDocument/2006/relationships/worksheet" Target="/xl/worksheets/sheet6.xml" Id="R4e2aeaa744174627" /><Relationship Type="http://schemas.openxmlformats.org/officeDocument/2006/relationships/worksheet" Target="/xl/worksheets/sheet7.xml" Id="R9a13d06fcece4665" /><Relationship Type="http://schemas.openxmlformats.org/officeDocument/2006/relationships/worksheet" Target="/xl/worksheets/sheet8.xml" Id="R63a33bcb5ae044e8" /><Relationship Type="http://schemas.openxmlformats.org/officeDocument/2006/relationships/worksheet" Target="/xl/worksheets/sheet9.xml" Id="R3ed763e46e3e46bf" /><Relationship Type="http://schemas.openxmlformats.org/officeDocument/2006/relationships/worksheet" Target="/xl/worksheets/sheet10.xml" Id="Re0875b7e7e7647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d84eb1e3d44350" /><Relationship Type="http://schemas.openxmlformats.org/officeDocument/2006/relationships/chart" Target="/xl/drawings/charts/chart2.xml" Id="Rd3b892676ce74e84" /><Relationship Type="http://schemas.openxmlformats.org/officeDocument/2006/relationships/chart" Target="/xl/drawings/charts/chart3.xml" Id="Rc8344f426c9d40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Training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Audit Readiness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'Dashboard'!$E$11:$E$12</c:f>
              <c:strCache>
                <c:ptCount val="0"/>
              </c:strCache>
            </c:strRef>
          </c:cat>
          <c:val>
            <c:numRef>
              <c:f>'Dashboard'!$F$11:$F$12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 Timing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'Dashboard'!$I$11:$I$13</c:f>
              <c:strCache>
                <c:ptCount val="0"/>
              </c:strCache>
            </c:strRef>
          </c:cat>
          <c:val>
            <c:numRef>
              <c:f>'Dashboard'!$J$11:$J$13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d84eb1e3d44350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b892676ce74e84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344f426c9d40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9f9ef1240c4342f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Quality Management System &amp; Compliance Automation Lab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Project Purpose</x:v>
      </x:c>
      <x:c r="B3" s="11"/>
      <x:c r="C3" s="11"/>
      <x:c r="D3" s="11"/>
      <x:c r="E3" s="11"/>
      <x:c r="F3" s="11"/>
      <x:c r="G3" s="11"/>
      <x:c r="H3" s="11"/>
    </x:row>
    <x:row r="4" ht="26" customHeight="1">
      <x:c r="A4" s="14" t="str">
        <x:v>Simulated educational portfolio project demonstrating QMS support, document control, quality metrics, change control, CAPA tracking, training records, audit readiness, management-review reporting, and task automation.</x:v>
      </x:c>
      <x:c r="B4" s="14"/>
      <x:c r="C4" s="14"/>
      <x:c r="D4" s="14"/>
      <x:c r="E4" s="14"/>
      <x:c r="F4" s="14"/>
      <x:c r="G4" s="14"/>
      <x:c r="H4" s="14"/>
    </x:row>
    <x:row r="5" ht="26" customHeight="1">
      <x:c r="A5" s="14" t="str"/>
      <x:c r="B5" s="14"/>
      <x:c r="C5" s="14"/>
      <x:c r="D5" s="14"/>
      <x:c r="E5" s="14"/>
      <x:c r="F5" s="14"/>
      <x:c r="G5" s="14"/>
      <x:c r="H5" s="14"/>
    </x:row>
    <x:row r="6" ht="26" customHeight="1">
      <x:c r="A6" s="14" t="str">
        <x:v>All products, employees, documents, quality events, audit records, and regulatory references are simulated. No employer, patient, clinical, or production data is used.</x:v>
      </x:c>
      <x:c r="B6" s="14"/>
      <x:c r="C6" s="14"/>
      <x:c r="D6" s="14"/>
      <x:c r="E6" s="14"/>
      <x:c r="F6" s="14"/>
      <x:c r="G6" s="14"/>
      <x:c r="H6" s="14"/>
    </x:row>
    <x:row r="7" ht="26" customHeight="1">
      <x:c r="A7" s="14" t="str"/>
      <x:c r="B7" s="14"/>
      <x:c r="C7" s="14"/>
      <x:c r="D7" s="14"/>
      <x:c r="E7" s="14"/>
      <x:c r="F7" s="14"/>
      <x:c r="G7" s="14"/>
      <x:c r="H7" s="14"/>
    </x:row>
    <x:row r="8" ht="26" customHeight="1">
      <x:c r="A8" s="14" t="str">
        <x:v>The workbook is designed around the administrative and analytical responsibilities commonly found in a QA Coordinator co-op role.</x:v>
      </x:c>
      <x:c r="B8" s="14"/>
      <x:c r="C8" s="14"/>
      <x:c r="D8" s="14"/>
      <x:c r="E8" s="14"/>
      <x:c r="F8" s="14"/>
      <x:c r="G8" s="14"/>
      <x:c r="H8" s="14"/>
    </x:row>
    <x:row r="9" ht="26" customHeight="1">
      <x:c r="A9" s="14" t="str"/>
      <x:c r="B9" s="14"/>
      <x:c r="C9" s="14"/>
      <x:c r="D9" s="14"/>
      <x:c r="E9" s="14"/>
      <x:c r="F9" s="14"/>
      <x:c r="G9" s="14"/>
      <x:c r="H9" s="14"/>
    </x:row>
    <x:row r="10" ht="26" customHeight="1">
      <x:c r="A10" s="14" t="str">
        <x:v>Sheets included:</x:v>
      </x:c>
      <x:c r="B10" s="14"/>
      <x:c r="C10" s="14"/>
      <x:c r="D10" s="14"/>
      <x:c r="E10" s="14"/>
      <x:c r="F10" s="14"/>
      <x:c r="G10" s="14"/>
      <x:c r="H10" s="14"/>
    </x:row>
    <x:row r="11" ht="26" customHeight="1">
      <x:c r="A11" s="14" t="str">
        <x:v>1. Document Control — SOP/document revision, approval, review dates, and status.</x:v>
      </x:c>
      <x:c r="B11" s="14"/>
      <x:c r="C11" s="14"/>
      <x:c r="D11" s="14"/>
      <x:c r="E11" s="14"/>
      <x:c r="F11" s="14"/>
      <x:c r="G11" s="14"/>
      <x:c r="H11" s="14"/>
    </x:row>
    <x:row r="12" ht="26" customHeight="1">
      <x:c r="A12" s="14" t="str">
        <x:v>2. Training Matrix — employee training completion and overdue status.</x:v>
      </x:c>
      <x:c r="B12" s="14"/>
      <x:c r="C12" s="14"/>
      <x:c r="D12" s="14"/>
      <x:c r="E12" s="14"/>
      <x:c r="F12" s="14"/>
      <x:c r="G12" s="14"/>
      <x:c r="H12" s="14"/>
    </x:row>
    <x:row r="13" ht="26" customHeight="1">
      <x:c r="A13" s="14" t="str">
        <x:v>3. CAPA Tracker — corrective/preventive action ownership, due dates, and effectiveness review.</x:v>
      </x:c>
      <x:c r="B13" s="14"/>
      <x:c r="C13" s="14"/>
      <x:c r="D13" s="14"/>
      <x:c r="E13" s="14"/>
      <x:c r="F13" s="14"/>
      <x:c r="G13" s="14"/>
      <x:c r="H13" s="14"/>
    </x:row>
    <x:row r="14" ht="26" customHeight="1">
      <x:c r="A14" s="14" t="str">
        <x:v>4. Change Control — proposed changes, impact assessment, approvals, implementation, and verification.</x:v>
      </x:c>
      <x:c r="B14" s="14"/>
      <x:c r="C14" s="14"/>
      <x:c r="D14" s="14"/>
      <x:c r="E14" s="14"/>
      <x:c r="F14" s="14"/>
      <x:c r="G14" s="14"/>
      <x:c r="H14" s="14"/>
    </x:row>
    <x:row r="15" ht="26" customHeight="1">
      <x:c r="A15" s="14" t="str">
        <x:v>5. Nonconformance Log — simulated quality events, investigation status, disposition, and recurrence risk.</x:v>
      </x:c>
      <x:c r="B15" s="14"/>
      <x:c r="C15" s="14"/>
      <x:c r="D15" s="14"/>
      <x:c r="E15" s="14"/>
      <x:c r="F15" s="14"/>
      <x:c r="G15" s="14"/>
      <x:c r="H15" s="14"/>
    </x:row>
    <x:row r="16" ht="26" customHeight="1">
      <x:c r="A16" s="14" t="str">
        <x:v>6. Audit Readiness — evidence checklist and readiness status.</x:v>
      </x:c>
      <x:c r="B16" s="14"/>
      <x:c r="C16" s="14"/>
      <x:c r="D16" s="14"/>
      <x:c r="E16" s="14"/>
      <x:c r="F16" s="14"/>
      <x:c r="G16" s="14"/>
      <x:c r="H16" s="14"/>
    </x:row>
    <x:row r="17" ht="26" customHeight="1">
      <x:c r="A17" s="14" t="str">
        <x:v>7. Management Review — summarized quality metrics and follow-up actions.</x:v>
      </x:c>
      <x:c r="B17" s="14"/>
      <x:c r="C17" s="14"/>
      <x:c r="D17" s="14"/>
      <x:c r="E17" s="14"/>
      <x:c r="F17" s="14"/>
      <x:c r="G17" s="14"/>
      <x:c r="H17" s="14"/>
    </x:row>
    <x:row r="18" ht="26" customHeight="1">
      <x:c r="A18" s="14" t="str">
        <x:v>8. Regulatory Reference — high-level educational mapping only; no clause text reproduced.</x:v>
      </x:c>
      <x:c r="B18" s="14"/>
      <x:c r="C18" s="14"/>
      <x:c r="D18" s="14"/>
      <x:c r="E18" s="14"/>
      <x:c r="F18" s="14"/>
      <x:c r="G18" s="14"/>
      <x:c r="H18" s="14"/>
    </x:row>
    <x:row r="19" ht="26" customHeight="1">
      <x:c r="A19" s="14" t="str">
        <x:v>9. Dashboard — key quality metrics and charts.</x:v>
      </x:c>
      <x:c r="B19" s="14"/>
      <x:c r="C19" s="14"/>
      <x:c r="D19" s="14"/>
      <x:c r="E19" s="14"/>
      <x:c r="F19" s="14"/>
      <x:c r="G19" s="14"/>
      <x:c r="H19" s="14"/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34" hidden="0" customWidth="1"/>
    <x:col min="3" max="3" width="18" hidden="0" customWidth="1"/>
    <x:col min="4" max="4" width="18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5" hidden="0" customWidth="1"/>
    <x:col min="11" max="11" width="12" hidden="0" customWidth="1"/>
    <x:col min="12" max="12" width="14" hidden="0" customWidth="1"/>
  </x:cols>
  <x:sheetData>
    <x:row r="1">
      <x:c r="A1" s="5" t="str">
        <x:v>Controlled Document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6" t="str">
        <x:v>Doc ID</x:v>
      </x:c>
      <x:c r="B3" s="26" t="str">
        <x:v>Document Title</x:v>
      </x:c>
      <x:c r="C3" s="26" t="str">
        <x:v>Type</x:v>
      </x:c>
      <x:c r="D3" s="26" t="str">
        <x:v>Owner</x:v>
      </x:c>
      <x:c r="E3" s="26" t="str">
        <x:v>Rev</x:v>
      </x:c>
      <x:c r="F3" s="26" t="str">
        <x:v>Effective Date</x:v>
      </x:c>
      <x:c r="G3" s="26" t="str">
        <x:v>Next Review</x:v>
      </x:c>
      <x:c r="H3" s="26" t="str">
        <x:v>Approval Status</x:v>
      </x:c>
      <x:c r="I3" s="26" t="str">
        <x:v>Training Required</x:v>
      </x:c>
      <x:c r="J3" s="26" t="str">
        <x:v>Workflow Stage</x:v>
      </x:c>
      <x:c r="K3" s="26" t="str">
        <x:v>Days to Review</x:v>
      </x:c>
      <x:c r="L3" s="26" t="str">
        <x:v>Review Flag</x:v>
      </x:c>
    </x:row>
    <x:row r="4">
      <x:c r="A4" s="14" t="str">
        <x:v>SOP-001</x:v>
      </x:c>
      <x:c r="B4" s="14" t="str">
        <x:v>Document Control Procedure</x:v>
      </x:c>
      <x:c r="C4" s="14" t="str">
        <x:v>SOP</x:v>
      </x:c>
      <x:c r="D4" s="14" t="str">
        <x:v>QA Systems</x:v>
      </x:c>
      <x:c r="E4" s="14" t="n">
        <x:v>4</x:v>
      </x:c>
      <x:c r="F4" s="27" t="n">
        <x:v>46037</x:v>
      </x:c>
      <x:c r="G4" s="27" t="n">
        <x:v>46402</x:v>
      </x:c>
      <x:c r="H4" s="14" t="str">
        <x:v>Approved</x:v>
      </x:c>
      <x:c r="I4" s="14" t="str">
        <x:v>Yes</x:v>
      </x:c>
      <x:c r="J4" s="14" t="str">
        <x:v>Effective</x:v>
      </x:c>
      <x:c r="K4" s="28" t="n">
        <x:f>G4-DATE(2026,10,17)</x:f>
        <x:v>90</x:v>
      </x:c>
      <x:c r="L4" s="14" t="str">
        <x:f>IF(K4&lt;0,"OVERDUE",IF(K4&lt;=30,"DUE &lt;=30D","OK"))</x:f>
        <x:v>OK</x:v>
      </x:c>
    </x:row>
    <x:row r="5">
      <x:c r="A5" s="14" t="str">
        <x:v>SOP-002</x:v>
      </x:c>
      <x:c r="B5" s="14" t="str">
        <x:v>Change Control Procedure</x:v>
      </x:c>
      <x:c r="C5" s="14" t="str">
        <x:v>SOP</x:v>
      </x:c>
      <x:c r="D5" s="14" t="str">
        <x:v>QA Systems</x:v>
      </x:c>
      <x:c r="E5" s="14" t="n">
        <x:v>3</x:v>
      </x:c>
      <x:c r="F5" s="27" t="n">
        <x:v>46063</x:v>
      </x:c>
      <x:c r="G5" s="27" t="n">
        <x:v>46428</x:v>
      </x:c>
      <x:c r="H5" s="14" t="str">
        <x:v>Approved</x:v>
      </x:c>
      <x:c r="I5" s="14" t="str">
        <x:v>Yes</x:v>
      </x:c>
      <x:c r="J5" s="14" t="str">
        <x:v>Effective</x:v>
      </x:c>
      <x:c r="K5" s="28" t="n">
        <x:f>G5-DATE(2026,10,17)</x:f>
        <x:v>116</x:v>
      </x:c>
      <x:c r="L5" s="14" t="str">
        <x:f>IF(K5&lt;0,"OVERDUE",IF(K5&lt;=30,"DUE &lt;=30D","OK"))</x:f>
        <x:v>OK</x:v>
      </x:c>
    </x:row>
    <x:row r="6">
      <x:c r="A6" s="14" t="str">
        <x:v>SOP-003</x:v>
      </x:c>
      <x:c r="B6" s="14" t="str">
        <x:v>CAPA Procedure</x:v>
      </x:c>
      <x:c r="C6" s="14" t="str">
        <x:v>SOP</x:v>
      </x:c>
      <x:c r="D6" s="14" t="str">
        <x:v>Quality Assurance</x:v>
      </x:c>
      <x:c r="E6" s="14" t="n">
        <x:v>5</x:v>
      </x:c>
      <x:c r="F6" s="27" t="n">
        <x:v>46086</x:v>
      </x:c>
      <x:c r="G6" s="27" t="n">
        <x:v>46451</x:v>
      </x:c>
      <x:c r="H6" s="14" t="str">
        <x:v>Approved</x:v>
      </x:c>
      <x:c r="I6" s="14" t="str">
        <x:v>Yes</x:v>
      </x:c>
      <x:c r="J6" s="14" t="str">
        <x:v>Effective</x:v>
      </x:c>
      <x:c r="K6" s="28" t="n">
        <x:f>G6-DATE(2026,10,17)</x:f>
        <x:v>139</x:v>
      </x:c>
      <x:c r="L6" s="14" t="str">
        <x:f>IF(K6&lt;0,"OVERDUE",IF(K6&lt;=30,"DUE &lt;=30D","OK"))</x:f>
        <x:v>OK</x:v>
      </x:c>
    </x:row>
    <x:row r="7">
      <x:c r="A7" s="14" t="str">
        <x:v>WI-014</x:v>
      </x:c>
      <x:c r="B7" s="14" t="str">
        <x:v>Incoming Inspection Work Instruction</x:v>
      </x:c>
      <x:c r="C7" s="14" t="str">
        <x:v>Work Instruction</x:v>
      </x:c>
      <x:c r="D7" s="14" t="str">
        <x:v>QC Incoming</x:v>
      </x:c>
      <x:c r="E7" s="14" t="n">
        <x:v>7</x:v>
      </x:c>
      <x:c r="F7" s="27" t="n">
        <x:v>46132</x:v>
      </x:c>
      <x:c r="G7" s="27" t="n">
        <x:v>46497</x:v>
      </x:c>
      <x:c r="H7" s="14" t="str">
        <x:v>Approved</x:v>
      </x:c>
      <x:c r="I7" s="14" t="str">
        <x:v>Yes</x:v>
      </x:c>
      <x:c r="J7" s="14" t="str">
        <x:v>Effective</x:v>
      </x:c>
      <x:c r="K7" s="28" t="n">
        <x:f>G7-DATE(2026,10,17)</x:f>
        <x:v>185</x:v>
      </x:c>
      <x:c r="L7" s="14" t="str">
        <x:f>IF(K7&lt;0,"OVERDUE",IF(K7&lt;=30,"DUE &lt;=30D","OK"))</x:f>
        <x:v>OK</x:v>
      </x:c>
    </x:row>
    <x:row r="8">
      <x:c r="A8" s="14" t="str">
        <x:v>FRM-021</x:v>
      </x:c>
      <x:c r="B8" s="14" t="str">
        <x:v>Management Review Minutes Template</x:v>
      </x:c>
      <x:c r="C8" s="14" t="str">
        <x:v>Form</x:v>
      </x:c>
      <x:c r="D8" s="14" t="str">
        <x:v>QA Systems</x:v>
      </x:c>
      <x:c r="E8" s="14" t="n">
        <x:v>2</x:v>
      </x:c>
      <x:c r="F8" s="27" t="n">
        <x:v>46174</x:v>
      </x:c>
      <x:c r="G8" s="27" t="n">
        <x:v>46539</x:v>
      </x:c>
      <x:c r="H8" s="14" t="str">
        <x:v>Approved</x:v>
      </x:c>
      <x:c r="I8" s="14" t="str">
        <x:v>No</x:v>
      </x:c>
      <x:c r="J8" s="14" t="str">
        <x:v>Effective</x:v>
      </x:c>
      <x:c r="K8" s="28" t="n">
        <x:f>G8-DATE(2026,10,17)</x:f>
        <x:v>227</x:v>
      </x:c>
      <x:c r="L8" s="14" t="str">
        <x:f>IF(K8&lt;0,"OVERDUE",IF(K8&lt;=30,"DUE &lt;=30D","OK"))</x:f>
        <x:v>OK</x:v>
      </x:c>
    </x:row>
    <x:row r="9">
      <x:c r="A9" s="14" t="str">
        <x:v>SOP-008</x:v>
      </x:c>
      <x:c r="B9" s="14" t="str">
        <x:v>Training Management Procedure</x:v>
      </x:c>
      <x:c r="C9" s="14" t="str">
        <x:v>SOP</x:v>
      </x:c>
      <x:c r="D9" s="14" t="str">
        <x:v>QA Systems</x:v>
      </x:c>
      <x:c r="E9" s="14" t="n">
        <x:v>2</x:v>
      </x:c>
      <x:c r="F9" s="27" t="n">
        <x:v>45962</x:v>
      </x:c>
      <x:c r="G9" s="27" t="n">
        <x:v>46327</x:v>
      </x:c>
      <x:c r="H9" s="14" t="str">
        <x:v>Approved</x:v>
      </x:c>
      <x:c r="I9" s="14" t="str">
        <x:v>Yes</x:v>
      </x:c>
      <x:c r="J9" s="14" t="str">
        <x:v>Review Due</x:v>
      </x:c>
      <x:c r="K9" s="28" t="n">
        <x:f>G9-DATE(2026,10,17)</x:f>
        <x:v>15</x:v>
      </x:c>
      <x:c r="L9" s="14" t="str">
        <x:f>IF(K9&lt;0,"OVERDUE",IF(K9&lt;=30,"DUE &lt;=30D","OK"))</x:f>
        <x:v>DUE &lt;=30D</x:v>
      </x:c>
    </x:row>
    <x:row r="10">
      <x:c r="A10" s="14" t="str">
        <x:v>WI-031</x:v>
      </x:c>
      <x:c r="B10" s="14" t="str">
        <x:v>Chemical Inventory Review</x:v>
      </x:c>
      <x:c r="C10" s="14" t="str">
        <x:v>Work Instruction</x:v>
      </x:c>
      <x:c r="D10" s="14" t="str">
        <x:v>EHS</x:v>
      </x:c>
      <x:c r="E10" s="14" t="n">
        <x:v>1</x:v>
      </x:c>
      <x:c r="F10" s="27" t="n">
        <x:v>45945</x:v>
      </x:c>
      <x:c r="G10" s="27" t="n">
        <x:v>46310</x:v>
      </x:c>
      <x:c r="H10" s="14" t="str">
        <x:v>Approved</x:v>
      </x:c>
      <x:c r="I10" s="14" t="str">
        <x:v>Yes</x:v>
      </x:c>
      <x:c r="J10" s="14" t="str">
        <x:v>Review Due</x:v>
      </x:c>
      <x:c r="K10" s="28" t="n">
        <x:f>G10-DATE(2026,10,17)</x:f>
        <x:v>-2</x:v>
      </x:c>
      <x:c r="L10" s="14" t="str">
        <x:f>IF(K10&lt;0,"OVERDUE",IF(K10&lt;=30,"DUE &lt;=30D","OK"))</x:f>
        <x:v>OVERDUE</x:v>
      </x:c>
    </x:row>
    <x:row r="11">
      <x:c r="A11" s="14" t="str">
        <x:v>SOP-011</x:v>
      </x:c>
      <x:c r="B11" s="14" t="str">
        <x:v>Internal Audit Procedure</x:v>
      </x:c>
      <x:c r="C11" s="14" t="str">
        <x:v>SOP</x:v>
      </x:c>
      <x:c r="D11" s="14" t="str">
        <x:v>QA Systems</x:v>
      </x:c>
      <x:c r="E11" s="14" t="n">
        <x:v>3</x:v>
      </x:c>
      <x:c r="F11" s="27" t="n">
        <x:v>46235</x:v>
      </x:c>
      <x:c r="G11" s="27" t="n">
        <x:v>46600</x:v>
      </x:c>
      <x:c r="H11" s="14" t="str">
        <x:v>Draft</x:v>
      </x:c>
      <x:c r="I11" s="14" t="str">
        <x:v>Yes</x:v>
      </x:c>
      <x:c r="J11" s="14" t="str">
        <x:v>Approval</x:v>
      </x:c>
      <x:c r="K11" s="28" t="n">
        <x:f>G11-DATE(2026,10,17)</x:f>
        <x:v>288</x:v>
      </x:c>
      <x:c r="L11" s="14" t="str">
        <x:f>IF(K11&lt;0,"OVERDUE",IF(K11&lt;=30,"DUE &lt;=30D","OK"))</x:f>
        <x:v>OK</x:v>
      </x:c>
    </x:row>
  </x:sheetData>
  <x:mergeCells>
    <x:mergeCell ref="A1:L1"/>
  </x:mergeCells>
  <x:conditionalFormatting sqref="L4:L11">
    <x:cfRule type="expression" dxfId="0" priority="1">
      <x:formula>L4="OVERDUE"</x:formula>
    </x:cfRule>
    <x:cfRule type="expression" dxfId="1" priority="2">
      <x:formula>L4="DUE &lt;=30D"</x:formula>
    </x:cfRule>
    <x:cfRule type="expression" dxfId="2" priority="3">
      <x:formula>L4="OK"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3" hidden="0" customWidth="1"/>
    <x:col min="10" max="10" width="18" hidden="0" customWidth="1"/>
  </x:cols>
  <x:sheetData>
    <x:row r="1">
      <x:c r="A1" s="5" t="str">
        <x:v>Training Compliance Matrix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6" t="str">
        <x:v>Employee ID</x:v>
      </x:c>
      <x:c r="B3" s="26" t="str">
        <x:v>Department</x:v>
      </x:c>
      <x:c r="C3" s="26" t="str">
        <x:v>Required Training</x:v>
      </x:c>
      <x:c r="D3" s="26" t="str">
        <x:v>Assigned</x:v>
      </x:c>
      <x:c r="E3" s="26" t="str">
        <x:v>Completed</x:v>
      </x:c>
      <x:c r="F3" s="26" t="str">
        <x:v>Due Date</x:v>
      </x:c>
      <x:c r="G3" s="26" t="str">
        <x:v>Status</x:v>
      </x:c>
      <x:c r="H3" s="26" t="str">
        <x:v>Days Overdue</x:v>
      </x:c>
      <x:c r="I3" s="26" t="str">
        <x:v>Evidence</x:v>
      </x:c>
      <x:c r="J3" s="26" t="str">
        <x:v>Manager</x:v>
      </x:c>
    </x:row>
    <x:row r="4">
      <x:c r="A4" s="14" t="str">
        <x:v>EMP-001</x:v>
      </x:c>
      <x:c r="B4" s="14" t="str">
        <x:v>QA</x:v>
      </x:c>
      <x:c r="C4" s="14" t="str">
        <x:v>Document Control</x:v>
      </x:c>
      <x:c r="D4" s="27" t="n">
        <x:v>46266</x:v>
      </x:c>
      <x:c r="E4" s="27" t="n">
        <x:v>46270</x:v>
      </x:c>
      <x:c r="F4" s="27" t="n">
        <x:v>46280</x:v>
      </x:c>
      <x:c r="G4" s="14" t="str">
        <x:v>Complete</x:v>
      </x:c>
      <x:c r="H4" s="14" t="n">
        <x:v>0</x:v>
      </x:c>
      <x:c r="I4" s="14" t="str">
        <x:v>TRN-1001</x:v>
      </x:c>
      <x:c r="J4" s="14" t="str">
        <x:v>QA Manager</x:v>
      </x:c>
    </x:row>
    <x:row r="5">
      <x:c r="A5" s="14" t="str">
        <x:v>EMP-002</x:v>
      </x:c>
      <x:c r="B5" s="14" t="str">
        <x:v>Operations</x:v>
      </x:c>
      <x:c r="C5" s="14" t="str">
        <x:v>Good Documentation Practices</x:v>
      </x:c>
      <x:c r="D5" s="27" t="n">
        <x:v>46275</x:v>
      </x:c>
      <x:c r="E5" s="27" t="n">
        <x:v>46283</x:v>
      </x:c>
      <x:c r="F5" s="27" t="n">
        <x:v>46290</x:v>
      </x:c>
      <x:c r="G5" s="14" t="str">
        <x:v>Complete</x:v>
      </x:c>
      <x:c r="H5" s="14" t="n">
        <x:v>0</x:v>
      </x:c>
      <x:c r="I5" s="14" t="str">
        <x:v>TRN-1002</x:v>
      </x:c>
      <x:c r="J5" s="14" t="str">
        <x:v>Ops Manager</x:v>
      </x:c>
    </x:row>
    <x:row r="6">
      <x:c r="A6" s="14" t="str">
        <x:v>EMP-003</x:v>
      </x:c>
      <x:c r="B6" s="14" t="str">
        <x:v>QC Incoming</x:v>
      </x:c>
      <x:c r="C6" s="14" t="str">
        <x:v>Incoming Inspection WI</x:v>
      </x:c>
      <x:c r="D6" s="27" t="n">
        <x:v>46296</x:v>
      </x:c>
      <x:c r="E6" s="27"/>
      <x:c r="F6" s="27" t="n">
        <x:v>46310</x:v>
      </x:c>
      <x:c r="G6" s="14" t="str">
        <x:v>Overdue</x:v>
      </x:c>
      <x:c r="H6" s="14" t="n">
        <x:v>2</x:v>
      </x:c>
      <x:c r="I6" s="14" t="str"/>
      <x:c r="J6" s="14" t="str">
        <x:v>QC Supervisor</x:v>
      </x:c>
    </x:row>
    <x:row r="7">
      <x:c r="A7" s="14" t="str">
        <x:v>EMP-004</x:v>
      </x:c>
      <x:c r="B7" s="14" t="str">
        <x:v>Engineering</x:v>
      </x:c>
      <x:c r="C7" s="14" t="str">
        <x:v>Change Control</x:v>
      </x:c>
      <x:c r="D7" s="27" t="n">
        <x:v>46297</x:v>
      </x:c>
      <x:c r="E7" s="27"/>
      <x:c r="F7" s="27" t="n">
        <x:v>46320</x:v>
      </x:c>
      <x:c r="G7" s="14" t="str">
        <x:v>Open</x:v>
      </x:c>
      <x:c r="H7" s="14" t="n">
        <x:v>0</x:v>
      </x:c>
      <x:c r="I7" s="14" t="str"/>
      <x:c r="J7" s="14" t="str">
        <x:v>Engineering Manager</x:v>
      </x:c>
    </x:row>
    <x:row r="8">
      <x:c r="A8" s="14" t="str">
        <x:v>EMP-005</x:v>
      </x:c>
      <x:c r="B8" s="14" t="str">
        <x:v>EHS</x:v>
      </x:c>
      <x:c r="C8" s="14" t="str">
        <x:v>Chemical Inventory Review</x:v>
      </x:c>
      <x:c r="D8" s="27" t="n">
        <x:v>46285</x:v>
      </x:c>
      <x:c r="E8" s="27" t="n">
        <x:v>46293</x:v>
      </x:c>
      <x:c r="F8" s="27" t="n">
        <x:v>46296</x:v>
      </x:c>
      <x:c r="G8" s="14" t="str">
        <x:v>Complete</x:v>
      </x:c>
      <x:c r="H8" s="14" t="n">
        <x:v>0</x:v>
      </x:c>
      <x:c r="I8" s="14" t="str">
        <x:v>TRN-1005</x:v>
      </x:c>
      <x:c r="J8" s="14" t="str">
        <x:v>EHS Manager</x:v>
      </x:c>
    </x:row>
    <x:row r="9">
      <x:c r="A9" s="14" t="str">
        <x:v>EMP-006</x:v>
      </x:c>
      <x:c r="B9" s="14" t="str">
        <x:v>QA</x:v>
      </x:c>
      <x:c r="C9" s="14" t="str">
        <x:v>CAPA Procedure</x:v>
      </x:c>
      <x:c r="D9" s="27" t="n">
        <x:v>46300</x:v>
      </x:c>
      <x:c r="E9" s="27"/>
      <x:c r="F9" s="27" t="n">
        <x:v>46315</x:v>
      </x:c>
      <x:c r="G9" s="14" t="str">
        <x:v>Open</x:v>
      </x:c>
      <x:c r="H9" s="14" t="n">
        <x:v>0</x:v>
      </x:c>
      <x:c r="I9" s="14" t="str"/>
      <x:c r="J9" s="14" t="str">
        <x:v>QA Manager</x:v>
      </x:c>
    </x:row>
    <x:row r="10">
      <x:c r="A10" s="14" t="str">
        <x:v>EMP-007</x:v>
      </x:c>
      <x:c r="B10" s="14" t="str">
        <x:v>Operations</x:v>
      </x:c>
      <x:c r="C10" s="14" t="str">
        <x:v>Good Documentation Practices</x:v>
      </x:c>
      <x:c r="D10" s="27" t="n">
        <x:v>46280</x:v>
      </x:c>
      <x:c r="E10" s="27" t="n">
        <x:v>46287</x:v>
      </x:c>
      <x:c r="F10" s="27" t="n">
        <x:v>46295</x:v>
      </x:c>
      <x:c r="G10" s="14" t="str">
        <x:v>Complete</x:v>
      </x:c>
      <x:c r="H10" s="14" t="n">
        <x:v>0</x:v>
      </x:c>
      <x:c r="I10" s="14" t="str">
        <x:v>TRN-1007</x:v>
      </x:c>
      <x:c r="J10" s="14" t="str">
        <x:v>Ops Manager</x:v>
      </x:c>
    </x:row>
    <x:row r="11">
      <x:c r="A11" s="14" t="str">
        <x:v>EMP-008</x:v>
      </x:c>
      <x:c r="B11" s="14" t="str">
        <x:v>Procurement</x:v>
      </x:c>
      <x:c r="C11" s="14" t="str">
        <x:v>Supplier Quality Basics</x:v>
      </x:c>
      <x:c r="D11" s="27" t="n">
        <x:v>46301</x:v>
      </x:c>
      <x:c r="E11" s="27"/>
      <x:c r="F11" s="27" t="n">
        <x:v>46323</x:v>
      </x:c>
      <x:c r="G11" s="14" t="str">
        <x:v>Open</x:v>
      </x:c>
      <x:c r="H11" s="14" t="n">
        <x:v>0</x:v>
      </x:c>
      <x:c r="I11" s="14" t="str"/>
      <x:c r="J11" s="14" t="str">
        <x:v>Procurement Manager</x:v>
      </x:c>
    </x:row>
  </x:sheetData>
  <x:mergeCells>
    <x:mergeCell ref="A1:J1"/>
  </x:mergeCells>
  <x:conditionalFormatting sqref="G4:G11">
    <x:cfRule type="expression" dxfId="3" priority="1">
      <x:formula>G4="Complete"</x:formula>
    </x:cfRule>
    <x:cfRule type="expression" dxfId="4" priority="2">
      <x:formula>G4="Overdue"</x:formula>
    </x:cfRule>
    <x:cfRule type="expression" dxfId="5" priority="3">
      <x:formula>G4="Open"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32" hidden="0" customWidth="1"/>
    <x:col min="4" max="4" width="22" hidden="0" customWidth="1"/>
    <x:col min="5" max="5" width="34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12" hidden="0" customWidth="1"/>
    <x:col min="12" max="12" width="13" hidden="0" customWidth="1"/>
  </x:cols>
  <x:sheetData>
    <x:row r="1">
      <x:c r="A1" s="5" t="str">
        <x:v>Corrective / Preventive Action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6" t="str">
        <x:v>CAPA ID</x:v>
      </x:c>
      <x:c r="B3" s="26" t="str">
        <x:v>Source</x:v>
      </x:c>
      <x:c r="C3" s="26" t="str">
        <x:v>Issue</x:v>
      </x:c>
      <x:c r="D3" s="26" t="str">
        <x:v>Root Cause</x:v>
      </x:c>
      <x:c r="E3" s="26" t="str">
        <x:v>Action</x:v>
      </x:c>
      <x:c r="F3" s="26" t="str">
        <x:v>Owner</x:v>
      </x:c>
      <x:c r="G3" s="26" t="str">
        <x:v>Opened</x:v>
      </x:c>
      <x:c r="H3" s="26" t="str">
        <x:v>Due</x:v>
      </x:c>
      <x:c r="I3" s="26" t="str">
        <x:v>Status</x:v>
      </x:c>
      <x:c r="J3" s="26" t="str">
        <x:v>Effectiveness Review</x:v>
      </x:c>
      <x:c r="K3" s="26" t="str">
        <x:v>Days to Due</x:v>
      </x:c>
      <x:c r="L3" s="26" t="str">
        <x:v>Flag</x:v>
      </x:c>
    </x:row>
    <x:row r="4">
      <x:c r="A4" s="14" t="str">
        <x:v>CAPA-001</x:v>
      </x:c>
      <x:c r="B4" s="14" t="str">
        <x:v>Internal Audit</x:v>
      </x:c>
      <x:c r="C4" s="14" t="str">
        <x:v>Training evidence missing for 2 records</x:v>
      </x:c>
      <x:c r="D4" s="14" t="str">
        <x:v>Process gap</x:v>
      </x:c>
      <x:c r="E4" s="14" t="str">
        <x:v>Add automated completeness check</x:v>
      </x:c>
      <x:c r="F4" s="14" t="str">
        <x:v>QA Systems</x:v>
      </x:c>
      <x:c r="G4" s="27" t="n">
        <x:v>46249</x:v>
      </x:c>
      <x:c r="H4" s="27" t="n">
        <x:v>46325</x:v>
      </x:c>
      <x:c r="I4" s="14" t="str">
        <x:v>In Progress</x:v>
      </x:c>
      <x:c r="J4" s="27" t="n">
        <x:v>46357</x:v>
      </x:c>
      <x:c r="K4" s="14" t="n">
        <x:f>H4-DATE(2026,10,17)</x:f>
        <x:v>13</x:v>
      </x:c>
      <x:c r="L4" s="14" t="str">
        <x:f>IF(I4="Closed","CLOSED",IF(K4&lt;0,"OVERDUE",IF(K4&lt;=14,"DUE &lt;=14D","ON TRACK")))</x:f>
        <x:v>DUE &lt;=14D</x:v>
      </x:c>
    </x:row>
    <x:row r="5">
      <x:c r="A5" s="14" t="str">
        <x:v>CAPA-002</x:v>
      </x:c>
      <x:c r="B5" s="14" t="str">
        <x:v>Nonconformance</x:v>
      </x:c>
      <x:c r="C5" s="14" t="str">
        <x:v>Incorrect document revision used</x:v>
      </x:c>
      <x:c r="D5" s="14" t="str">
        <x:v>Human/process</x:v>
      </x:c>
      <x:c r="E5" s="14" t="str">
        <x:v>Improve controlled-document access workflow</x:v>
      </x:c>
      <x:c r="F5" s="14" t="str">
        <x:v>Operations</x:v>
      </x:c>
      <x:c r="G5" s="27" t="n">
        <x:v>46262</x:v>
      </x:c>
      <x:c r="H5" s="27" t="n">
        <x:v>46310</x:v>
      </x:c>
      <x:c r="I5" s="14" t="str">
        <x:v>Overdue</x:v>
      </x:c>
      <x:c r="J5" s="27" t="n">
        <x:v>46356</x:v>
      </x:c>
      <x:c r="K5" s="14" t="n">
        <x:f>H5-DATE(2026,10,17)</x:f>
        <x:v>-2</x:v>
      </x:c>
      <x:c r="L5" s="14" t="str">
        <x:f>IF(I5="Closed","CLOSED",IF(K5&lt;0,"OVERDUE",IF(K5&lt;=14,"DUE &lt;=14D","ON TRACK")))</x:f>
        <x:v>OVERDUE</x:v>
      </x:c>
    </x:row>
    <x:row r="6">
      <x:c r="A6" s="14" t="str">
        <x:v>CAPA-003</x:v>
      </x:c>
      <x:c r="B6" s="14" t="str">
        <x:v>Trend Review</x:v>
      </x:c>
      <x:c r="C6" s="14" t="str">
        <x:v>Repeat data-entry errors</x:v>
      </x:c>
      <x:c r="D6" s="14" t="str">
        <x:v>Manual entry risk</x:v>
      </x:c>
      <x:c r="E6" s="14" t="str">
        <x:v>Add validation to quality data form</x:v>
      </x:c>
      <x:c r="F6" s="14" t="str">
        <x:v>QA Systems</x:v>
      </x:c>
      <x:c r="G6" s="27" t="n">
        <x:v>46275</x:v>
      </x:c>
      <x:c r="H6" s="27" t="n">
        <x:v>46341</x:v>
      </x:c>
      <x:c r="I6" s="14" t="str">
        <x:v>In Progress</x:v>
      </x:c>
      <x:c r="J6" s="27" t="n">
        <x:v>46397</x:v>
      </x:c>
      <x:c r="K6" s="14" t="n">
        <x:f>H6-DATE(2026,10,17)</x:f>
        <x:v>29</x:v>
      </x:c>
      <x:c r="L6" s="14" t="str">
        <x:f>IF(I6="Closed","CLOSED",IF(K6&lt;0,"OVERDUE",IF(K6&lt;=14,"DUE &lt;=14D","ON TRACK")))</x:f>
        <x:v>ON TRACK</x:v>
      </x:c>
    </x:row>
    <x:row r="7">
      <x:c r="A7" s="14" t="str">
        <x:v>CAPA-004</x:v>
      </x:c>
      <x:c r="B7" s="14" t="str">
        <x:v>Supplier Issue</x:v>
      </x:c>
      <x:c r="C7" s="14" t="str">
        <x:v>Incoming label mismatch</x:v>
      </x:c>
      <x:c r="D7" s="14" t="str">
        <x:v>Supplier process</x:v>
      </x:c>
      <x:c r="E7" s="14" t="str">
        <x:v>Update supplier corrective action follow-up</x:v>
      </x:c>
      <x:c r="F7" s="14" t="str">
        <x:v>Procurement</x:v>
      </x:c>
      <x:c r="G7" s="27" t="n">
        <x:v>46285</x:v>
      </x:c>
      <x:c r="H7" s="27" t="n">
        <x:v>46356</x:v>
      </x:c>
      <x:c r="I7" s="14" t="str">
        <x:v>Open</x:v>
      </x:c>
      <x:c r="J7" s="27" t="n">
        <x:v>46418</x:v>
      </x:c>
      <x:c r="K7" s="14" t="n">
        <x:f>H7-DATE(2026,10,17)</x:f>
        <x:v>44</x:v>
      </x:c>
      <x:c r="L7" s="14" t="str">
        <x:f>IF(I7="Closed","CLOSED",IF(K7&lt;0,"OVERDUE",IF(K7&lt;=14,"DUE &lt;=14D","ON TRACK")))</x:f>
        <x:v>ON TRACK</x:v>
      </x:c>
    </x:row>
    <x:row r="8">
      <x:c r="A8" s="14" t="str">
        <x:v>CAPA-005</x:v>
      </x:c>
      <x:c r="B8" s="14" t="str">
        <x:v>Management Review</x:v>
      </x:c>
      <x:c r="C8" s="14" t="str">
        <x:v>Late document reviews</x:v>
      </x:c>
      <x:c r="D8" s="14" t="str">
        <x:v>Scheduling control</x:v>
      </x:c>
      <x:c r="E8" s="14" t="str">
        <x:v>Introduce 30-day review alerts</x:v>
      </x:c>
      <x:c r="F8" s="14" t="str">
        <x:v>QA Systems</x:v>
      </x:c>
      <x:c r="G8" s="27" t="n">
        <x:v>46296</x:v>
      </x:c>
      <x:c r="H8" s="27" t="n">
        <x:v>46327</x:v>
      </x:c>
      <x:c r="I8" s="14" t="str">
        <x:v>In Progress</x:v>
      </x:c>
      <x:c r="J8" s="27" t="n">
        <x:v>46371</x:v>
      </x:c>
      <x:c r="K8" s="14" t="n">
        <x:f>H8-DATE(2026,10,17)</x:f>
        <x:v>15</x:v>
      </x:c>
      <x:c r="L8" s="14" t="str">
        <x:f>IF(I8="Closed","CLOSED",IF(K8&lt;0,"OVERDUE",IF(K8&lt;=14,"DUE &lt;=14D","ON TRACK")))</x:f>
        <x:v>ON TRACK</x:v>
      </x:c>
    </x:row>
  </x:sheetData>
  <x:mergeCells>
    <x:mergeCell ref="A1:L1"/>
  </x:mergeCells>
  <x:conditionalFormatting sqref="L4:L8">
    <x:cfRule type="expression" dxfId="6" priority="1">
      <x:formula>L4="OVERDUE"</x:formula>
    </x:cfRule>
    <x:cfRule type="expression" dxfId="7" priority="2">
      <x:formula>L4="DUE &lt;=14D"</x:formula>
    </x:cfRule>
    <x:cfRule type="expression" dxfId="8" priority="3">
      <x:formula>L4="ON TRACK"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6" hidden="0" customWidth="1"/>
    <x:col min="3" max="3" width="17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5" hidden="0" customWidth="1"/>
    <x:col min="12" max="12" width="24" hidden="0" customWidth="1"/>
  </x:cols>
  <x:sheetData>
    <x:row r="1">
      <x:c r="A1" s="5" t="str">
        <x:v>Quality Change Control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6" t="str">
        <x:v>Change ID</x:v>
      </x:c>
      <x:c r="B3" s="26" t="str">
        <x:v>Description</x:v>
      </x:c>
      <x:c r="C3" s="26" t="str">
        <x:v>Requestor</x:v>
      </x:c>
      <x:c r="D3" s="26" t="str">
        <x:v>Impact Area</x:v>
      </x:c>
      <x:c r="E3" s="26" t="str">
        <x:v>Risk</x:v>
      </x:c>
      <x:c r="F3" s="26" t="str">
        <x:v>QA Review</x:v>
      </x:c>
      <x:c r="G3" s="26" t="str">
        <x:v>Training Impact</x:v>
      </x:c>
      <x:c r="H3" s="26" t="str">
        <x:v>Document Impact</x:v>
      </x:c>
      <x:c r="I3" s="26" t="str">
        <x:v>Implementation Date</x:v>
      </x:c>
      <x:c r="J3" s="26" t="str">
        <x:v>Verification</x:v>
      </x:c>
      <x:c r="K3" s="26" t="str">
        <x:v>Status</x:v>
      </x:c>
      <x:c r="L3" s="26" t="str">
        <x:v>Notes</x:v>
      </x:c>
    </x:row>
    <x:row r="4">
      <x:c r="A4" s="14" t="str">
        <x:v>CHG-001</x:v>
      </x:c>
      <x:c r="B4" s="14" t="str">
        <x:v>Add automated overdue-training report</x:v>
      </x:c>
      <x:c r="C4" s="14" t="str">
        <x:v>QA Systems</x:v>
      </x:c>
      <x:c r="D4" s="14" t="str">
        <x:v>QMS / Training</x:v>
      </x:c>
      <x:c r="E4" s="14" t="str">
        <x:v>Low</x:v>
      </x:c>
      <x:c r="F4" s="14" t="str">
        <x:v>Complete</x:v>
      </x:c>
      <x:c r="G4" s="14" t="str">
        <x:v>Yes</x:v>
      </x:c>
      <x:c r="H4" s="14" t="str">
        <x:v>Yes</x:v>
      </x:c>
      <x:c r="I4" s="27" t="n">
        <x:v>46305</x:v>
      </x:c>
      <x:c r="J4" s="14" t="str">
        <x:v>Verified</x:v>
      </x:c>
      <x:c r="K4" s="14" t="str">
        <x:v>Closed</x:v>
      </x:c>
      <x:c r="L4" s="14" t="str">
        <x:v>Pilot successful</x:v>
      </x:c>
    </x:row>
    <x:row r="5">
      <x:c r="A5" s="14" t="str">
        <x:v>CHG-002</x:v>
      </x:c>
      <x:c r="B5" s="14" t="str">
        <x:v>Revise incoming inspection sampling form</x:v>
      </x:c>
      <x:c r="C5" s="14" t="str">
        <x:v>QC Incoming</x:v>
      </x:c>
      <x:c r="D5" s="14" t="str">
        <x:v>Quality Control</x:v>
      </x:c>
      <x:c r="E5" s="14" t="str">
        <x:v>Medium</x:v>
      </x:c>
      <x:c r="F5" s="14" t="str">
        <x:v>Complete</x:v>
      </x:c>
      <x:c r="G5" s="14" t="str">
        <x:v>Yes</x:v>
      </x:c>
      <x:c r="H5" s="14" t="str">
        <x:v>Yes</x:v>
      </x:c>
      <x:c r="I5" s="27" t="n">
        <x:v>46320</x:v>
      </x:c>
      <x:c r="J5" s="14" t="str">
        <x:v>Pending</x:v>
      </x:c>
      <x:c r="K5" s="14" t="str">
        <x:v>Implementation</x:v>
      </x:c>
      <x:c r="L5" s="14" t="str">
        <x:v>Training scheduled</x:v>
      </x:c>
    </x:row>
    <x:row r="6">
      <x:c r="A6" s="14" t="str">
        <x:v>CHG-003</x:v>
      </x:c>
      <x:c r="B6" s="14" t="str">
        <x:v>Update chemical inventory review workflow</x:v>
      </x:c>
      <x:c r="C6" s="14" t="str">
        <x:v>EHS</x:v>
      </x:c>
      <x:c r="D6" s="14" t="str">
        <x:v>EHSMS</x:v>
      </x:c>
      <x:c r="E6" s="14" t="str">
        <x:v>Medium</x:v>
      </x:c>
      <x:c r="F6" s="14" t="str">
        <x:v>In Review</x:v>
      </x:c>
      <x:c r="G6" s="14" t="str">
        <x:v>Yes</x:v>
      </x:c>
      <x:c r="H6" s="14" t="str">
        <x:v>Yes</x:v>
      </x:c>
      <x:c r="I6" s="27"/>
      <x:c r="J6" s="14" t="str">
        <x:v>Pending</x:v>
      </x:c>
      <x:c r="K6" s="14" t="str">
        <x:v>Assessment</x:v>
      </x:c>
      <x:c r="L6" s="14" t="str">
        <x:v>Awaiting EHS review</x:v>
      </x:c>
    </x:row>
    <x:row r="7">
      <x:c r="A7" s="14" t="str">
        <x:v>CHG-004</x:v>
      </x:c>
      <x:c r="B7" s="14" t="str">
        <x:v>Add CAPA dashboard metrics</x:v>
      </x:c>
      <x:c r="C7" s="14" t="str">
        <x:v>QA Systems</x:v>
      </x:c>
      <x:c r="D7" s="14" t="str">
        <x:v>Management Review</x:v>
      </x:c>
      <x:c r="E7" s="14" t="str">
        <x:v>Low</x:v>
      </x:c>
      <x:c r="F7" s="14" t="str">
        <x:v>Complete</x:v>
      </x:c>
      <x:c r="G7" s="14" t="str">
        <x:v>No</x:v>
      </x:c>
      <x:c r="H7" s="14" t="str">
        <x:v>No</x:v>
      </x:c>
      <x:c r="I7" s="27" t="n">
        <x:v>46307</x:v>
      </x:c>
      <x:c r="J7" s="14" t="str">
        <x:v>Verified</x:v>
      </x:c>
      <x:c r="K7" s="14" t="str">
        <x:v>Closed</x:v>
      </x:c>
      <x:c r="L7" s="14" t="str">
        <x:v>Dashboard updated</x:v>
      </x:c>
    </x:row>
    <x:row r="8">
      <x:c r="A8" s="14" t="str">
        <x:v>CHG-005</x:v>
      </x:c>
      <x:c r="B8" s="14" t="str">
        <x:v>Modify supplier quality escalation route</x:v>
      </x:c>
      <x:c r="C8" s="14" t="str">
        <x:v>Procurement</x:v>
      </x:c>
      <x:c r="D8" s="14" t="str">
        <x:v>Supplier Quality</x:v>
      </x:c>
      <x:c r="E8" s="14" t="str">
        <x:v>High</x:v>
      </x:c>
      <x:c r="F8" s="14" t="str">
        <x:v>In Review</x:v>
      </x:c>
      <x:c r="G8" s="14" t="str">
        <x:v>Yes</x:v>
      </x:c>
      <x:c r="H8" s="14" t="str">
        <x:v>Yes</x:v>
      </x:c>
      <x:c r="I8" s="27"/>
      <x:c r="J8" s="14" t="str">
        <x:v>Pending</x:v>
      </x:c>
      <x:c r="K8" s="14" t="str">
        <x:v>Assessment</x:v>
      </x:c>
      <x:c r="L8" s="14" t="str">
        <x:v>Cross-functional review required</x:v>
      </x:c>
    </x:row>
  </x:sheetData>
  <x:mergeCells>
    <x:mergeCell ref="A1:L1"/>
  </x:mergeCells>
  <x:conditionalFormatting sqref="K4:K8">
    <x:cfRule type="expression" dxfId="9" priority="1">
      <x:formula>K4="Closed"</x:formula>
    </x:cfRule>
    <x:cfRule type="expression" dxfId="10" priority="2">
      <x:formula>K4="Implementation"</x:formula>
    </x:cfRule>
    <x:cfRule type="expression" dxfId="11" priority="3">
      <x:formula>K4="Assessment"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6" hidden="0" customWidth="1"/>
    <x:col min="4" max="4" width="18" hidden="0" customWidth="1"/>
    <x:col min="5" max="5" width="11" hidden="0" customWidth="1"/>
    <x:col min="6" max="6" width="34" hidden="0" customWidth="1"/>
    <x:col min="7" max="7" width="28" hidden="0" customWidth="1"/>
    <x:col min="8" max="8" width="15" hidden="0" customWidth="1"/>
    <x:col min="9" max="9" width="18" hidden="0" customWidth="1"/>
    <x:col min="10" max="10" width="14" hidden="0" customWidth="1"/>
    <x:col min="11" max="11" width="12" hidden="0" customWidth="1"/>
  </x:cols>
  <x:sheetData>
    <x:row r="1">
      <x:c r="A1" s="5" t="str">
        <x:v>Simulated Nonconformance / Quality Event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26" t="str">
        <x:v>NC ID</x:v>
      </x:c>
      <x:c r="B3" s="26" t="str">
        <x:v>Date</x:v>
      </x:c>
      <x:c r="C3" s="26" t="str">
        <x:v>Area</x:v>
      </x:c>
      <x:c r="D3" s="26" t="str">
        <x:v>Category</x:v>
      </x:c>
      <x:c r="E3" s="26" t="str">
        <x:v>Severity</x:v>
      </x:c>
      <x:c r="F3" s="26" t="str">
        <x:v>Description</x:v>
      </x:c>
      <x:c r="G3" s="26" t="str">
        <x:v>Immediate Action</x:v>
      </x:c>
      <x:c r="H3" s="26" t="str">
        <x:v>Investigation</x:v>
      </x:c>
      <x:c r="I3" s="26" t="str">
        <x:v>Disposition</x:v>
      </x:c>
      <x:c r="J3" s="26" t="str">
        <x:v>CAPA Required</x:v>
      </x:c>
      <x:c r="K3" s="26" t="str">
        <x:v>Status</x:v>
      </x:c>
    </x:row>
    <x:row r="4">
      <x:c r="A4" s="14" t="str">
        <x:v>NC-001</x:v>
      </x:c>
      <x:c r="B4" s="27" t="n">
        <x:v>46256</x:v>
      </x:c>
      <x:c r="C4" s="14" t="str">
        <x:v>Operations</x:v>
      </x:c>
      <x:c r="D4" s="14" t="str">
        <x:v>Documentation</x:v>
      </x:c>
      <x:c r="E4" s="14" t="str">
        <x:v>Medium</x:v>
      </x:c>
      <x:c r="F4" s="14" t="str">
        <x:v>Obsolete controlled form used</x:v>
      </x:c>
      <x:c r="G4" s="14" t="str">
        <x:v>Quarantined affected records</x:v>
      </x:c>
      <x:c r="H4" s="14" t="str">
        <x:v>Complete</x:v>
      </x:c>
      <x:c r="I4" s="14" t="str">
        <x:v>Records corrected</x:v>
      </x:c>
      <x:c r="J4" s="14" t="str">
        <x:v>Yes</x:v>
      </x:c>
      <x:c r="K4" s="14" t="str">
        <x:v>Closed</x:v>
      </x:c>
    </x:row>
    <x:row r="5">
      <x:c r="A5" s="14" t="str">
        <x:v>NC-002</x:v>
      </x:c>
      <x:c r="B5" s="27" t="n">
        <x:v>46268</x:v>
      </x:c>
      <x:c r="C5" s="14" t="str">
        <x:v>QC Incoming</x:v>
      </x:c>
      <x:c r="D5" s="14" t="str">
        <x:v>Labeling</x:v>
      </x:c>
      <x:c r="E5" s="14" t="str">
        <x:v>Low</x:v>
      </x:c>
      <x:c r="F5" s="14" t="str">
        <x:v>Supplier label mismatch</x:v>
      </x:c>
      <x:c r="G5" s="14" t="str">
        <x:v>Material held</x:v>
      </x:c>
      <x:c r="H5" s="14" t="str">
        <x:v>Complete</x:v>
      </x:c>
      <x:c r="I5" s="14" t="str">
        <x:v>Supplier clarification</x:v>
      </x:c>
      <x:c r="J5" s="14" t="str">
        <x:v>No</x:v>
      </x:c>
      <x:c r="K5" s="14" t="str">
        <x:v>Closed</x:v>
      </x:c>
    </x:row>
    <x:row r="6">
      <x:c r="A6" s="14" t="str">
        <x:v>NC-003</x:v>
      </x:c>
      <x:c r="B6" s="27" t="n">
        <x:v>46283</x:v>
      </x:c>
      <x:c r="C6" s="14" t="str">
        <x:v>QA Systems</x:v>
      </x:c>
      <x:c r="D6" s="14" t="str">
        <x:v>Data Entry</x:v>
      </x:c>
      <x:c r="E6" s="14" t="str">
        <x:v>Medium</x:v>
      </x:c>
      <x:c r="F6" s="14" t="str">
        <x:v>Metric entered in wrong field</x:v>
      </x:c>
      <x:c r="G6" s="14" t="str">
        <x:v>Corrected entry</x:v>
      </x:c>
      <x:c r="H6" s="14" t="str">
        <x:v>Complete</x:v>
      </x:c>
      <x:c r="I6" s="14" t="str">
        <x:v>Form validation requested</x:v>
      </x:c>
      <x:c r="J6" s="14" t="str">
        <x:v>Yes</x:v>
      </x:c>
      <x:c r="K6" s="14" t="str">
        <x:v>Closed</x:v>
      </x:c>
    </x:row>
    <x:row r="7">
      <x:c r="A7" s="14" t="str">
        <x:v>NC-004</x:v>
      </x:c>
      <x:c r="B7" s="27" t="n">
        <x:v>46300</x:v>
      </x:c>
      <x:c r="C7" s="14" t="str">
        <x:v>Training</x:v>
      </x:c>
      <x:c r="D7" s="14" t="str">
        <x:v>Training Record</x:v>
      </x:c>
      <x:c r="E7" s="14" t="str">
        <x:v>High</x:v>
      </x:c>
      <x:c r="F7" s="14" t="str">
        <x:v>Required training evidence unavailable</x:v>
      </x:c>
      <x:c r="G7" s="14" t="str">
        <x:v>Access restricted pending training</x:v>
      </x:c>
      <x:c r="H7" s="14" t="str">
        <x:v>In Progress</x:v>
      </x:c>
      <x:c r="I7" s="14" t="str">
        <x:v>Pending</x:v>
      </x:c>
      <x:c r="J7" s="14" t="str">
        <x:v>Yes</x:v>
      </x:c>
      <x:c r="K7" s="14" t="str">
        <x:v>Open</x:v>
      </x:c>
    </x:row>
    <x:row r="8">
      <x:c r="A8" s="14" t="str">
        <x:v>NC-005</x:v>
      </x:c>
      <x:c r="B8" s="27" t="n">
        <x:v>46307</x:v>
      </x:c>
      <x:c r="C8" s="14" t="str">
        <x:v>Document Control</x:v>
      </x:c>
      <x:c r="D8" s="14" t="str">
        <x:v>Review</x:v>
      </x:c>
      <x:c r="E8" s="14" t="str">
        <x:v>Medium</x:v>
      </x:c>
      <x:c r="F8" s="14" t="str">
        <x:v>Document review deadline missed</x:v>
      </x:c>
      <x:c r="G8" s="14" t="str">
        <x:v>Owner notified</x:v>
      </x:c>
      <x:c r="H8" s="14" t="str">
        <x:v>In Progress</x:v>
      </x:c>
      <x:c r="I8" s="14" t="str">
        <x:v>Pending</x:v>
      </x:c>
      <x:c r="J8" s="14" t="str">
        <x:v>Yes</x:v>
      </x:c>
      <x:c r="K8" s="14" t="str">
        <x:v>Open</x:v>
      </x:c>
    </x:row>
  </x:sheetData>
  <x:mergeCells>
    <x:mergeCell ref="A1:K1"/>
  </x:mergeCells>
  <x:conditionalFormatting sqref="E4:E8">
    <x:cfRule type="expression" dxfId="12" priority="1">
      <x:formula>E4="High"</x:formula>
    </x:cfRule>
    <x:cfRule type="expression" dxfId="13" priority="2">
      <x:formula>E4="Medium"</x:formula>
    </x:cfRule>
  </x:conditionalFormatting>
  <x:conditionalFormatting sqref="K4:K8">
    <x:cfRule type="expression" dxfId="14" priority="3">
      <x:formula>K4="Closed"</x:formula>
    </x:cfRule>
    <x:cfRule type="expression" dxfId="15" priority="4">
      <x:formula>K4="Open"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4" hidden="0" customWidth="1"/>
    <x:col min="4" max="4" width="18" hidden="0" customWidth="1"/>
    <x:col min="5" max="5" width="11" hidden="0" customWidth="1"/>
    <x:col min="6" max="6" width="11" hidden="0" customWidth="1"/>
    <x:col min="7" max="7" width="14" hidden="0" customWidth="1"/>
    <x:col min="8" max="8" width="16" hidden="0" customWidth="1"/>
    <x:col min="9" max="9" width="30" hidden="0" customWidth="1"/>
  </x:cols>
  <x:sheetData>
    <x:row r="1">
      <x:c r="A1" s="5" t="str">
        <x:v>Audit Readiness Checklist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6" t="str">
        <x:v>Item ID</x:v>
      </x:c>
      <x:c r="B3" s="26" t="str">
        <x:v>Area</x:v>
      </x:c>
      <x:c r="C3" s="26" t="str">
        <x:v>Evidence / Record</x:v>
      </x:c>
      <x:c r="D3" s="26" t="str">
        <x:v>Owner</x:v>
      </x:c>
      <x:c r="E3" s="26" t="str">
        <x:v>Current?</x:v>
      </x:c>
      <x:c r="F3" s="26" t="str">
        <x:v>Available?</x:v>
      </x:c>
      <x:c r="G3" s="26" t="str">
        <x:v>Last Checked</x:v>
      </x:c>
      <x:c r="H3" s="26" t="str">
        <x:v>Readiness</x:v>
      </x:c>
      <x:c r="I3" s="26" t="str">
        <x:v>Action</x:v>
      </x:c>
    </x:row>
    <x:row r="4">
      <x:c r="A4" s="14" t="str">
        <x:v>AUD-001</x:v>
      </x:c>
      <x:c r="B4" s="14" t="str">
        <x:v>Document Control</x:v>
      </x:c>
      <x:c r="C4" s="14" t="str">
        <x:v>Current SOP register</x:v>
      </x:c>
      <x:c r="D4" s="14" t="str">
        <x:v>QA Systems</x:v>
      </x:c>
      <x:c r="E4" s="14" t="str">
        <x:v>Yes</x:v>
      </x:c>
      <x:c r="F4" s="14" t="str">
        <x:v>Yes</x:v>
      </x:c>
      <x:c r="G4" s="27" t="n">
        <x:v>46307</x:v>
      </x:c>
      <x:c r="H4" s="14" t="str">
        <x:v>Ready</x:v>
      </x:c>
      <x:c r="I4" s="14" t="str"/>
    </x:row>
    <x:row r="5">
      <x:c r="A5" s="14" t="str">
        <x:v>AUD-002</x:v>
      </x:c>
      <x:c r="B5" s="14" t="str">
        <x:v>Training</x:v>
      </x:c>
      <x:c r="C5" s="14" t="str">
        <x:v>Training completion evidence</x:v>
      </x:c>
      <x:c r="D5" s="14" t="str">
        <x:v>QA Systems</x:v>
      </x:c>
      <x:c r="E5" s="14" t="str">
        <x:v>No</x:v>
      </x:c>
      <x:c r="F5" s="14" t="str">
        <x:v>Yes</x:v>
      </x:c>
      <x:c r="G5" s="27" t="n">
        <x:v>46309</x:v>
      </x:c>
      <x:c r="H5" s="14" t="str">
        <x:v>Action Needed</x:v>
      </x:c>
      <x:c r="I5" s="14" t="str">
        <x:v>Close overdue training</x:v>
      </x:c>
    </x:row>
    <x:row r="6">
      <x:c r="A6" s="14" t="str">
        <x:v>AUD-003</x:v>
      </x:c>
      <x:c r="B6" s="14" t="str">
        <x:v>CAPA</x:v>
      </x:c>
      <x:c r="C6" s="14" t="str">
        <x:v>Open CAPA status and evidence</x:v>
      </x:c>
      <x:c r="D6" s="14" t="str">
        <x:v>Quality Assurance</x:v>
      </x:c>
      <x:c r="E6" s="14" t="str">
        <x:v>Yes</x:v>
      </x:c>
      <x:c r="F6" s="14" t="str">
        <x:v>Yes</x:v>
      </x:c>
      <x:c r="G6" s="27" t="n">
        <x:v>46310</x:v>
      </x:c>
      <x:c r="H6" s="14" t="str">
        <x:v>Ready</x:v>
      </x:c>
      <x:c r="I6" s="14" t="str"/>
    </x:row>
    <x:row r="7">
      <x:c r="A7" s="14" t="str">
        <x:v>AUD-004</x:v>
      </x:c>
      <x:c r="B7" s="14" t="str">
        <x:v>Change Control</x:v>
      </x:c>
      <x:c r="C7" s="14" t="str">
        <x:v>Implemented change verification</x:v>
      </x:c>
      <x:c r="D7" s="14" t="str">
        <x:v>QA Systems</x:v>
      </x:c>
      <x:c r="E7" s="14" t="str">
        <x:v>Yes</x:v>
      </x:c>
      <x:c r="F7" s="14" t="str">
        <x:v>Yes</x:v>
      </x:c>
      <x:c r="G7" s="27" t="n">
        <x:v>46310</x:v>
      </x:c>
      <x:c r="H7" s="14" t="str">
        <x:v>Ready</x:v>
      </x:c>
      <x:c r="I7" s="14" t="str"/>
    </x:row>
    <x:row r="8">
      <x:c r="A8" s="14" t="str">
        <x:v>AUD-005</x:v>
      </x:c>
      <x:c r="B8" s="14" t="str">
        <x:v>Management Review</x:v>
      </x:c>
      <x:c r="C8" s="14" t="str">
        <x:v>Latest review metrics pack</x:v>
      </x:c>
      <x:c r="D8" s="14" t="str">
        <x:v>QA Systems</x:v>
      </x:c>
      <x:c r="E8" s="14" t="str">
        <x:v>Yes</x:v>
      </x:c>
      <x:c r="F8" s="14" t="str">
        <x:v>Yes</x:v>
      </x:c>
      <x:c r="G8" s="27" t="n">
        <x:v>46311</x:v>
      </x:c>
      <x:c r="H8" s="14" t="str">
        <x:v>Ready</x:v>
      </x:c>
      <x:c r="I8" s="14" t="str"/>
    </x:row>
    <x:row r="9">
      <x:c r="A9" s="14" t="str">
        <x:v>AUD-006</x:v>
      </x:c>
      <x:c r="B9" s="14" t="str">
        <x:v>EHS</x:v>
      </x:c>
      <x:c r="C9" s="14" t="str">
        <x:v>Chemical inventory review record</x:v>
      </x:c>
      <x:c r="D9" s="14" t="str">
        <x:v>EHS</x:v>
      </x:c>
      <x:c r="E9" s="14" t="str">
        <x:v>No</x:v>
      </x:c>
      <x:c r="F9" s="14" t="str">
        <x:v>Yes</x:v>
      </x:c>
      <x:c r="G9" s="27" t="n">
        <x:v>46311</x:v>
      </x:c>
      <x:c r="H9" s="14" t="str">
        <x:v>Action Needed</x:v>
      </x:c>
      <x:c r="I9" s="14" t="str">
        <x:v>Complete periodic review</x:v>
      </x:c>
    </x:row>
    <x:row r="10">
      <x:c r="A10" s="14" t="str">
        <x:v>AUD-007</x:v>
      </x:c>
      <x:c r="B10" s="14" t="str">
        <x:v>Incoming Inspection</x:v>
      </x:c>
      <x:c r="C10" s="14" t="str">
        <x:v>Current work instruction</x:v>
      </x:c>
      <x:c r="D10" s="14" t="str">
        <x:v>QC Incoming</x:v>
      </x:c>
      <x:c r="E10" s="14" t="str">
        <x:v>Yes</x:v>
      </x:c>
      <x:c r="F10" s="14" t="str">
        <x:v>Yes</x:v>
      </x:c>
      <x:c r="G10" s="27" t="n">
        <x:v>46311</x:v>
      </x:c>
      <x:c r="H10" s="14" t="str">
        <x:v>Ready</x:v>
      </x:c>
      <x:c r="I10" s="14" t="str"/>
    </x:row>
  </x:sheetData>
  <x:mergeCells>
    <x:mergeCell ref="A1:I1"/>
  </x:mergeCells>
  <x:conditionalFormatting sqref="H4:H10">
    <x:cfRule type="expression" dxfId="16" priority="1">
      <x:formula>H4="Ready"</x:formula>
    </x:cfRule>
    <x:cfRule type="expression" dxfId="17" priority="2">
      <x:formula>H4="Action Needed"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12" hidden="0" customWidth="1"/>
    <x:col min="5" max="5" width="34" hidden="0" customWidth="1"/>
    <x:col min="6" max="6" width="18" hidden="0" customWidth="1"/>
    <x:col min="7" max="7" width="14" hidden="0" customWidth="1"/>
    <x:col min="8" max="8" width="12" hidden="0" customWidth="1"/>
  </x:cols>
  <x:sheetData>
    <x:row r="1">
      <x:c r="A1" s="5" t="str">
        <x:v>Management Review Summary Pack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Metric</x:v>
      </x:c>
      <x:c r="B3" s="26" t="str">
        <x:v>Value</x:v>
      </x:c>
      <x:c r="C3" s="14"/>
      <x:c r="D3" s="26" t="str">
        <x:v>Management Review Follow-Up Actions</x:v>
      </x:c>
      <x:c r="E3" s="26"/>
      <x:c r="F3" s="26"/>
      <x:c r="G3" s="26"/>
      <x:c r="H3" s="26"/>
    </x:row>
    <x:row r="4">
      <x:c r="A4" s="14" t="str">
        <x:v>Controlled Documents</x:v>
      </x:c>
      <x:c r="B4" s="14" t="n">
        <x:f>COUNTA('Document Control'!A4:A11)</x:f>
        <x:v>8</x:v>
      </x:c>
      <x:c r="C4" s="14"/>
      <x:c r="D4" s="34" t="str">
        <x:v>Action ID</x:v>
      </x:c>
      <x:c r="E4" s="34" t="str">
        <x:v>Action</x:v>
      </x:c>
      <x:c r="F4" s="34" t="str">
        <x:v>Owner</x:v>
      </x:c>
      <x:c r="G4" s="34" t="str">
        <x:v>Due</x:v>
      </x:c>
      <x:c r="H4" s="34" t="str">
        <x:v>Status</x:v>
      </x:c>
    </x:row>
    <x:row r="5">
      <x:c r="A5" s="14" t="str">
        <x:v>Documents Due / Overdue</x:v>
      </x:c>
      <x:c r="B5" s="14" t="n">
        <x:f>COUNTIF('Document Control'!L4:L11,"OVERDUE")+COUNTIF('Document Control'!L4:L11,"DUE &lt;=30D")</x:f>
        <x:v>2</x:v>
      </x:c>
      <x:c r="C5" s="14"/>
      <x:c r="D5" s="14" t="str">
        <x:v>MR-001</x:v>
      </x:c>
      <x:c r="E5" s="14" t="str">
        <x:v>Close overdue training record</x:v>
      </x:c>
      <x:c r="F5" s="14" t="str">
        <x:v>QA Systems</x:v>
      </x:c>
      <x:c r="G5" s="27" t="n">
        <x:v>46320</x:v>
      </x:c>
      <x:c r="H5" s="14" t="str">
        <x:v>Open</x:v>
      </x:c>
    </x:row>
    <x:row r="6">
      <x:c r="A6" s="14" t="str">
        <x:v>Training Completion Rate</x:v>
      </x:c>
      <x:c r="B6" s="35" t="n">
        <x:f>COUNTIF('Training Matrix'!G4:G11,"Complete")/COUNTA('Training Matrix'!A4:A11)</x:f>
        <x:v>0.5</x:v>
      </x:c>
      <x:c r="C6" s="14"/>
      <x:c r="D6" s="14" t="str">
        <x:v>MR-002</x:v>
      </x:c>
      <x:c r="E6" s="14" t="str">
        <x:v>Complete chemical inventory review</x:v>
      </x:c>
      <x:c r="F6" s="14" t="str">
        <x:v>EHS</x:v>
      </x:c>
      <x:c r="G6" s="27" t="n">
        <x:v>46319</x:v>
      </x:c>
      <x:c r="H6" s="14" t="str">
        <x:v>Open</x:v>
      </x:c>
    </x:row>
    <x:row r="7">
      <x:c r="A7" s="14" t="str">
        <x:v>Open / In-Progress CAPAs</x:v>
      </x:c>
      <x:c r="B7" s="14" t="n">
        <x:f>COUNTIF('CAPA Tracker'!I4:I8,"Open")+COUNTIF('CAPA Tracker'!I4:I8,"In Progress")+COUNTIF('CAPA Tracker'!I4:I8,"Overdue")</x:f>
        <x:v>5</x:v>
      </x:c>
      <x:c r="C7" s="14"/>
      <x:c r="D7" s="14" t="str">
        <x:v>MR-003</x:v>
      </x:c>
      <x:c r="E7" s="14" t="str">
        <x:v>Approve updated change-control SOP</x:v>
      </x:c>
      <x:c r="F7" s="14" t="str">
        <x:v>QA Systems</x:v>
      </x:c>
      <x:c r="G7" s="27" t="n">
        <x:v>46331</x:v>
      </x:c>
      <x:c r="H7" s="14" t="str">
        <x:v>Open</x:v>
      </x:c>
    </x:row>
    <x:row r="8">
      <x:c r="A8" s="14" t="str">
        <x:v>Overdue CAPAs</x:v>
      </x:c>
      <x:c r="B8" s="14" t="n">
        <x:f>COUNTIF('CAPA Tracker'!L4:L8,"OVERDUE")</x:f>
        <x:v>1</x:v>
      </x:c>
      <x:c r="C8" s="14"/>
      <x:c r="D8" s="14" t="str">
        <x:v>MR-004</x:v>
      </x:c>
      <x:c r="E8" s="14" t="str">
        <x:v>Review CAPA effectiveness trends</x:v>
      </x:c>
      <x:c r="F8" s="14" t="str">
        <x:v>Quality Assurance</x:v>
      </x:c>
      <x:c r="G8" s="27" t="n">
        <x:v>46336</x:v>
      </x:c>
      <x:c r="H8" s="14" t="str">
        <x:v>Planned</x:v>
      </x:c>
    </x:row>
    <x:row r="9">
      <x:c r="A9" s="14" t="str">
        <x:v>Open Nonconformances</x:v>
      </x:c>
      <x:c r="B9" s="14" t="n">
        <x:f>COUNTIF('Nonconformance Log'!K4:K8,"Open")</x:f>
        <x:v>2</x:v>
      </x:c>
      <x:c r="C9" s="14"/>
      <x:c r="D9" s="14"/>
      <x:c r="E9" s="14"/>
      <x:c r="F9" s="14"/>
      <x:c r="G9" s="14"/>
      <x:c r="H9" s="14"/>
    </x:row>
    <x:row r="10">
      <x:c r="A10" s="14" t="str">
        <x:v>Audit Items Ready</x:v>
      </x:c>
      <x:c r="B10" s="14" t="n">
        <x:f>COUNTIF('Audit Readiness'!H4:H10,"Ready")</x:f>
        <x:v>5</x:v>
      </x:c>
      <x:c r="C10" s="14"/>
      <x:c r="D10" s="14"/>
      <x:c r="E10" s="14"/>
      <x:c r="F10" s="14"/>
      <x:c r="G10" s="14"/>
      <x:c r="H10" s="14"/>
    </x:row>
    <x:row r="11">
      <x:c r="A11" s="14" t="str">
        <x:v>Changes Closed</x:v>
      </x:c>
      <x:c r="B11" s="14" t="n">
        <x:f>COUNTIF('Change Control'!K4:K8,"Closed")</x:f>
        <x:v>2</x:v>
      </x:c>
      <x:c r="C11" s="14"/>
      <x:c r="D11" s="14"/>
      <x:c r="E11" s="14"/>
      <x:c r="F11" s="14"/>
      <x:c r="G11" s="14"/>
      <x:c r="H11" s="14"/>
    </x:row>
  </x:sheetData>
  <x:mergeCells>
    <x:mergeCell ref="A1:H1"/>
    <x:mergeCell ref="D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8" hidden="0" customWidth="1"/>
    <x:col min="4" max="4" width="40" hidden="0" customWidth="1"/>
    <x:col min="5" max="5" width="16" hidden="0" customWidth="1"/>
    <x:col min="6" max="6" width="44" hidden="0" customWidth="1"/>
  </x:cols>
  <x:sheetData>
    <x:row r="1">
      <x:c r="A1" s="5" t="str">
        <x:v>High-Level Quality / EHS Framework Reference</x:v>
      </x:c>
      <x:c r="B1" s="5"/>
      <x:c r="C1" s="5"/>
      <x:c r="D1" s="5"/>
      <x:c r="E1" s="5"/>
      <x:c r="F1" s="5"/>
    </x:row>
    <x:row r="3">
      <x:c r="A3" s="26" t="str">
        <x:v>Framework</x:v>
      </x:c>
      <x:c r="B3" s="26" t="str">
        <x:v>Domain</x:v>
      </x:c>
      <x:c r="C3" s="26" t="str">
        <x:v>Project Use</x:v>
      </x:c>
      <x:c r="D3" s="26" t="str">
        <x:v>Evidence Example</x:v>
      </x:c>
      <x:c r="E3" s="26" t="str">
        <x:v>Exposure Level</x:v>
      </x:c>
      <x:c r="F3" s="26" t="str">
        <x:v>Important Note</x:v>
      </x:c>
    </x:row>
    <x:row r="4">
      <x:c r="A4" s="14" t="str">
        <x:v>ISO 13485</x:v>
      </x:c>
      <x:c r="B4" s="14" t="str">
        <x:v>Medical-device quality management</x:v>
      </x:c>
      <x:c r="C4" s="14" t="str">
        <x:v>QMS process structure</x:v>
      </x:c>
      <x:c r="D4" s="14" t="str">
        <x:v>Document control / CAPA / change tracking</x:v>
      </x:c>
      <x:c r="E4" s="14" t="str">
        <x:v>Educational</x:v>
      </x:c>
      <x:c r="F4" s="14" t="str">
        <x:v>No clause text reproduced; conceptual portfolio mapping only.</x:v>
      </x:c>
    </x:row>
    <x:row r="5">
      <x:c r="A5" s="14" t="str">
        <x:v>ISO 14001</x:v>
      </x:c>
      <x:c r="B5" s="14" t="str">
        <x:v>Environmental management</x:v>
      </x:c>
      <x:c r="C5" s="14" t="str">
        <x:v>EHSMS awareness</x:v>
      </x:c>
      <x:c r="D5" s="14" t="str">
        <x:v>Periodic environmental records / chemical review</x:v>
      </x:c>
      <x:c r="E5" s="14" t="str">
        <x:v>Educational</x:v>
      </x:c>
      <x:c r="F5" s="14" t="str">
        <x:v>No claim of professional implementation experience.</x:v>
      </x:c>
    </x:row>
    <x:row r="6">
      <x:c r="A6" s="14" t="str">
        <x:v>ISO 45001</x:v>
      </x:c>
      <x:c r="B6" s="14" t="str">
        <x:v>Occupational health &amp; safety</x:v>
      </x:c>
      <x:c r="C6" s="14" t="str">
        <x:v>EHSMS awareness</x:v>
      </x:c>
      <x:c r="D6" s="14" t="str">
        <x:v>Training / corrective actions / periodic review</x:v>
      </x:c>
      <x:c r="E6" s="14" t="str">
        <x:v>Educational</x:v>
      </x:c>
      <x:c r="F6" s="14" t="str">
        <x:v>No claim of professional implementation experience.</x:v>
      </x:c>
    </x:row>
    <x:row r="7">
      <x:c r="A7" s="14" t="str">
        <x:v>FDA Quality System Regulation</x:v>
      </x:c>
      <x:c r="B7" s="14" t="str">
        <x:v>US medical-device quality system</x:v>
      </x:c>
      <x:c r="C7" s="14" t="str">
        <x:v>Regulatory awareness</x:v>
      </x:c>
      <x:c r="D7" s="14" t="str">
        <x:v>Controlled records / change / CAPA concepts</x:v>
      </x:c>
      <x:c r="E7" s="14" t="str">
        <x:v>Educational</x:v>
      </x:c>
      <x:c r="F7" s="14" t="str">
        <x:v>Not legal or regulatory advice.</x:v>
      </x:c>
    </x:row>
    <x:row r="8">
      <x:c r="A8" s="14" t="str">
        <x:v>Health Canada Medical Device Regulations</x:v>
      </x:c>
      <x:c r="B8" s="14" t="str">
        <x:v>Canadian medical-device regulation</x:v>
      </x:c>
      <x:c r="C8" s="14" t="str">
        <x:v>Regulatory awareness</x:v>
      </x:c>
      <x:c r="D8" s="14" t="str">
        <x:v>Quality records / compliance support concepts</x:v>
      </x:c>
      <x:c r="E8" s="14" t="str">
        <x:v>Educational</x:v>
      </x:c>
      <x:c r="F8" s="14" t="str">
        <x:v>Not legal or regulatory advice.</x:v>
      </x:c>
    </x:row>
    <x:row r="9">
      <x:c r="A9" s="14" t="str">
        <x:v>Documentum-style Workflow</x:v>
      </x:c>
      <x:c r="B9" s="14" t="str">
        <x:v>Electronic document management</x:v>
      </x:c>
      <x:c r="C9" s="14" t="str">
        <x:v>Document approval workflow</x:v>
      </x:c>
      <x:c r="D9" s="14" t="str">
        <x:v>Draft -&gt; Review -&gt; Approval -&gt; Effective -&gt; Periodic Review</x:v>
      </x:c>
      <x:c r="E9" s="14" t="str">
        <x:v>Simulated</x:v>
      </x:c>
      <x:c r="F9" s="14" t="str">
        <x:v>No production Documentum instance used.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" t="str">
        <x:v>QMS / Compliance Dashboard — Simulated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38" t="str">
        <x:v>Controlled Documents</x:v>
      </x:c>
      <x:c r="B3" s="38"/>
      <x:c r="D3" s="38" t="str">
        <x:v>Docs Due / Overdue</x:v>
      </x:c>
      <x:c r="E3" s="38"/>
      <x:c r="G3" s="38" t="str">
        <x:v>Training Complete</x:v>
      </x:c>
      <x:c r="H3" s="38"/>
      <x:c r="J3" s="38" t="str">
        <x:v>Open CAPAs</x:v>
      </x:c>
      <x:c r="K3" s="38"/>
    </x:row>
    <x:row r="4">
      <x:c r="A4" s="44" t="n">
        <x:f>COUNTA('Document Control'!A4:A11)</x:f>
        <x:v>8</x:v>
      </x:c>
      <x:c r="B4" s="44"/>
      <x:c r="D4" s="44" t="n">
        <x:f>COUNTIF('Document Control'!L4:L11,"OVERDUE")+COUNTIF('Document Control'!L4:L11,"DUE &lt;=30D")</x:f>
        <x:v>2</x:v>
      </x:c>
      <x:c r="E4" s="44"/>
      <x:c r="G4" s="46" t="n">
        <x:f>COUNTIF('Training Matrix'!G4:G11,"Complete")/COUNTA('Training Matrix'!A4:A11)</x:f>
        <x:v>0.5</x:v>
      </x:c>
      <x:c r="H4" s="46"/>
      <x:c r="J4" s="44" t="n">
        <x:f>COUNTIF('CAPA Tracker'!I4:I8,"Open")+COUNTIF('CAPA Tracker'!I4:I8,"In Progress")+COUNTIF('CAPA Tracker'!I4:I8,"Overdue")</x:f>
        <x:v>5</x:v>
      </x:c>
      <x:c r="K4" s="44"/>
    </x:row>
    <x:row r="6">
      <x:c r="A6" s="38" t="str">
        <x:v>Overdue CAPAs</x:v>
      </x:c>
      <x:c r="B6" s="38"/>
      <x:c r="D6" s="38" t="str">
        <x:v>Open NCs</x:v>
      </x:c>
      <x:c r="E6" s="38"/>
      <x:c r="G6" s="38" t="str">
        <x:v>Audit Ready</x:v>
      </x:c>
      <x:c r="H6" s="38"/>
      <x:c r="J6" s="38" t="str">
        <x:v>Closed Changes</x:v>
      </x:c>
      <x:c r="K6" s="38"/>
    </x:row>
    <x:row r="7">
      <x:c r="A7" s="44" t="n">
        <x:f>COUNTIF('CAPA Tracker'!L4:L8,"OVERDUE")</x:f>
        <x:v>1</x:v>
      </x:c>
      <x:c r="B7" s="44"/>
      <x:c r="D7" s="44" t="n">
        <x:f>COUNTIF('Nonconformance Log'!K4:K8,"Open")</x:f>
        <x:v>2</x:v>
      </x:c>
      <x:c r="E7" s="44"/>
      <x:c r="G7" s="46" t="n">
        <x:f>COUNTIF('Audit Readiness'!H4:H10,"Ready")/COUNTA('Audit Readiness'!A4:A10)</x:f>
        <x:v>0.7142857142857143</x:v>
      </x:c>
      <x:c r="H7" s="46"/>
      <x:c r="J7" s="44" t="n">
        <x:f>COUNTIF('Change Control'!K4:K8,"Closed")</x:f>
        <x:v>2</x:v>
      </x:c>
      <x:c r="K7" s="44"/>
    </x:row>
    <x:row r="10">
      <x:c r="A10" s="18" t="str">
        <x:v>Training Status</x:v>
      </x:c>
      <x:c r="B10" s="18" t="str">
        <x:v>Count</x:v>
      </x:c>
      <x:c r="E10" s="18" t="str">
        <x:v>Audit Readiness</x:v>
      </x:c>
      <x:c r="F10" s="18" t="str">
        <x:v>Count</x:v>
      </x:c>
      <x:c r="I10" s="18" t="str">
        <x:v>CAPA Flag</x:v>
      </x:c>
      <x:c r="J10" s="18" t="str">
        <x:v>Count</x:v>
      </x:c>
    </x:row>
    <x:row r="11">
      <x:c r="A11" t="str">
        <x:v>Complete</x:v>
      </x:c>
      <x:c r="B11" t="n">
        <x:f>COUNTIF('Training Matrix'!$G$4:$G$11,A11)</x:f>
        <x:v>4</x:v>
      </x:c>
      <x:c r="E11" t="str">
        <x:v>Ready</x:v>
      </x:c>
      <x:c r="F11" t="n">
        <x:f>COUNTIF('Audit Readiness'!$H$4:$H$10,E11)</x:f>
        <x:v>5</x:v>
      </x:c>
      <x:c r="I11" t="str">
        <x:v>OVERDUE</x:v>
      </x:c>
      <x:c r="J11" t="n">
        <x:f>COUNTIF('CAPA Tracker'!$L$4:$L$8,I11)</x:f>
        <x:v>1</x:v>
      </x:c>
    </x:row>
    <x:row r="12">
      <x:c r="A12" t="str">
        <x:v>Open</x:v>
      </x:c>
      <x:c r="B12" t="n">
        <x:f>COUNTIF('Training Matrix'!$G$4:$G$11,A12)</x:f>
        <x:v>3</x:v>
      </x:c>
      <x:c r="E12" t="str">
        <x:v>Action Needed</x:v>
      </x:c>
      <x:c r="F12" t="n">
        <x:f>COUNTIF('Audit Readiness'!$H$4:$H$10,E12)</x:f>
        <x:v>2</x:v>
      </x:c>
      <x:c r="I12" t="str">
        <x:v>DUE &lt;=14D</x:v>
      </x:c>
      <x:c r="J12" t="n">
        <x:f>COUNTIF('CAPA Tracker'!$L$4:$L$8,I12)</x:f>
        <x:v>1</x:v>
      </x:c>
    </x:row>
    <x:row r="13">
      <x:c r="A13" t="str">
        <x:v>Overdue</x:v>
      </x:c>
      <x:c r="B13" t="n">
        <x:f>COUNTIF('Training Matrix'!$G$4:$G$11,A13)</x:f>
        <x:v>1</x:v>
      </x:c>
      <x:c r="I13" t="str">
        <x:v>ON TRACK</x:v>
      </x:c>
      <x:c r="J13" t="n">
        <x:f>COUNTIF('CAPA Tracker'!$L$4:$L$8,I13)</x:f>
        <x:v>3</x:v>
      </x:c>
    </x:row>
    <x:row r="32">
      <x:c r="A32" s="11" t="str">
        <x:v>Portfolio Note</x:v>
      </x:c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</x:row>
    <x:row r="33">
      <x:c r="A33" s="14" t="str">
        <x:v>This dashboard uses simulated records to demonstrate quality-system reporting, data trending, overdue-item monitoring, audit preparation, and management-review support. It is an educational portfolio artifact and does not represent professional medical-device regulatory experience.</x:v>
      </x:c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</x:sheetData>
  <x:mergeCells>
    <x:mergeCell ref="A1:L1"/>
    <x:mergeCell ref="A3:B3"/>
    <x:mergeCell ref="A4:B4"/>
    <x:mergeCell ref="D3:E3"/>
    <x:mergeCell ref="D4:E4"/>
    <x:mergeCell ref="G3:H3"/>
    <x:mergeCell ref="G4:H4"/>
    <x:mergeCell ref="J3:K3"/>
    <x:mergeCell ref="J4:K4"/>
    <x:mergeCell ref="A6:B6"/>
    <x:mergeCell ref="A7:B7"/>
    <x:mergeCell ref="D6:E6"/>
    <x:mergeCell ref="D7:E7"/>
    <x:mergeCell ref="G6:H6"/>
    <x:mergeCell ref="G7:H7"/>
    <x:mergeCell ref="J6:K6"/>
    <x:mergeCell ref="J7:K7"/>
    <x:mergeCell ref="A32:L32"/>
    <x:mergeCell ref="A33:L35"/>
  </x:mergeCells>
  <x:pageMargins left="0.7" right="0.7" top="0.75" bottom="0.75" header="0.3" footer="0.3"/>
  <x:drawing xmlns:r="http://schemas.openxmlformats.org/officeDocument/2006/relationships" r:id="R9f9ef1240c4342f7"/>
</x:worksheet>
</file>